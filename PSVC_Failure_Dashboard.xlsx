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VC Failure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Error Occurrences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'PSVC Failure Dashboard'!$A$9:$A$18</f>
            </numRef>
          </cat>
          <val>
            <numRef>
              <f>'PSVC Failure Dashboard'!$B$9:$B$18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'PSVC Failure Dashboard'!$G$9:$G$18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Occurrences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6" customWidth="1" min="4" max="4"/>
    <col width="10" customWidth="1" min="5" max="5"/>
    <col width="16" customWidth="1" min="6" max="6"/>
    <col width="14" customWidth="1" min="7" max="7"/>
  </cols>
  <sheetData>
    <row r="1">
      <c r="A1" s="1" t="inlineStr">
        <is>
          <t>PSVC Failure Summary (Last Week)</t>
        </is>
      </c>
    </row>
    <row r="3">
      <c r="A3" s="2" t="inlineStr">
        <is>
          <t>Total Calls</t>
        </is>
      </c>
      <c r="B3" t="n">
        <v>20459</v>
      </c>
    </row>
    <row r="4">
      <c r="A4" s="2" t="inlineStr">
        <is>
          <t>Total Failures</t>
        </is>
      </c>
      <c r="B4" t="n">
        <v>1171</v>
      </c>
    </row>
    <row r="5">
      <c r="A5" s="2" t="inlineStr">
        <is>
          <t>Failure Rate</t>
        </is>
      </c>
      <c r="B5">
        <f>B3/B2</f>
        <v/>
      </c>
    </row>
    <row r="6">
      <c r="A6" s="2" t="inlineStr">
        <is>
          <t>Total Success Calls</t>
        </is>
      </c>
      <c r="B6" t="n">
        <v>19288</v>
      </c>
    </row>
    <row r="8">
      <c r="A8" s="3" t="inlineStr">
        <is>
          <t>Error Type</t>
        </is>
      </c>
      <c r="B8" s="3" t="inlineStr">
        <is>
          <t>Occurrences</t>
        </is>
      </c>
      <c r="C8" s="3" t="inlineStr">
        <is>
          <t>% of Total Calls</t>
        </is>
      </c>
      <c r="D8" s="3" t="inlineStr">
        <is>
          <t>% of Failures</t>
        </is>
      </c>
      <c r="E8" s="3" t="inlineStr">
        <is>
          <t>Rank</t>
        </is>
      </c>
      <c r="F8" s="3" t="inlineStr">
        <is>
          <t>Running Total</t>
        </is>
      </c>
      <c r="G8" s="3" t="inlineStr">
        <is>
          <t>Cumulative %</t>
        </is>
      </c>
    </row>
    <row r="9">
      <c r="A9" t="inlineStr">
        <is>
          <t>E_PSVC_50632</t>
        </is>
      </c>
      <c r="B9" t="n">
        <v>862</v>
      </c>
      <c r="C9">
        <f>B9/$B$2</f>
        <v/>
      </c>
      <c r="D9">
        <f>B9/$B$3</f>
        <v/>
      </c>
      <c r="E9">
        <f>RANK(B9,$B$9:$B$18,0)</f>
        <v/>
      </c>
      <c r="F9">
        <f>SUM($B$9:B9)</f>
        <v/>
      </c>
      <c r="G9">
        <f>F9/$B$3</f>
        <v/>
      </c>
    </row>
    <row r="10">
      <c r="A10" t="inlineStr">
        <is>
          <t>Read timed out</t>
        </is>
      </c>
      <c r="B10" t="n">
        <v>169</v>
      </c>
      <c r="C10">
        <f>B10/$B$2</f>
        <v/>
      </c>
      <c r="D10">
        <f>B10/$B$3</f>
        <v/>
      </c>
      <c r="E10">
        <f>RANK(B10,$B$9:$B$18,0)</f>
        <v/>
      </c>
      <c r="F10">
        <f>SUM($B$9:B10)</f>
        <v/>
      </c>
      <c r="G10">
        <f>F10/$B$3</f>
        <v/>
      </c>
    </row>
    <row r="11">
      <c r="A11" t="inlineStr">
        <is>
          <t>E_PSVC_50362</t>
        </is>
      </c>
      <c r="B11" t="n">
        <v>68</v>
      </c>
      <c r="C11">
        <f>B11/$B$2</f>
        <v/>
      </c>
      <c r="D11">
        <f>B11/$B$3</f>
        <v/>
      </c>
      <c r="E11">
        <f>RANK(B11,$B$9:$B$18,0)</f>
        <v/>
      </c>
      <c r="F11">
        <f>SUM($B$9:B11)</f>
        <v/>
      </c>
      <c r="G11">
        <f>F11/$B$3</f>
        <v/>
      </c>
    </row>
    <row r="12">
      <c r="A12" t="inlineStr">
        <is>
          <t>E_PSVC_50100</t>
        </is>
      </c>
      <c r="B12" t="n">
        <v>51</v>
      </c>
      <c r="C12">
        <f>B12/$B$2</f>
        <v/>
      </c>
      <c r="D12">
        <f>B12/$B$3</f>
        <v/>
      </c>
      <c r="E12">
        <f>RANK(B12,$B$9:$B$18,0)</f>
        <v/>
      </c>
      <c r="F12">
        <f>SUM($B$9:B12)</f>
        <v/>
      </c>
      <c r="G12">
        <f>F12/$B$3</f>
        <v/>
      </c>
    </row>
    <row r="13">
      <c r="A13" t="inlineStr">
        <is>
          <t>E_PSVC_50306</t>
        </is>
      </c>
      <c r="B13" t="n">
        <v>10</v>
      </c>
      <c r="C13">
        <f>B13/$B$2</f>
        <v/>
      </c>
      <c r="D13">
        <f>B13/$B$3</f>
        <v/>
      </c>
      <c r="E13">
        <f>RANK(B13,$B$9:$B$18,0)</f>
        <v/>
      </c>
      <c r="F13">
        <f>SUM($B$9:B13)</f>
        <v/>
      </c>
      <c r="G13">
        <f>F13/$B$3</f>
        <v/>
      </c>
    </row>
    <row r="14">
      <c r="A14" t="inlineStr">
        <is>
          <t>E_PSVC_50345</t>
        </is>
      </c>
      <c r="B14" t="n">
        <v>5</v>
      </c>
      <c r="C14">
        <f>B14/$B$2</f>
        <v/>
      </c>
      <c r="D14">
        <f>B14/$B$3</f>
        <v/>
      </c>
      <c r="E14">
        <f>RANK(B14,$B$9:$B$18,0)</f>
        <v/>
      </c>
      <c r="F14">
        <f>SUM($B$9:B14)</f>
        <v/>
      </c>
      <c r="G14">
        <f>F14/$B$3</f>
        <v/>
      </c>
    </row>
    <row r="15">
      <c r="A15" t="inlineStr">
        <is>
          <t>E_PSVC_50336</t>
        </is>
      </c>
      <c r="B15" t="n">
        <v>2</v>
      </c>
      <c r="C15">
        <f>B15/$B$2</f>
        <v/>
      </c>
      <c r="D15">
        <f>B15/$B$3</f>
        <v/>
      </c>
      <c r="E15">
        <f>RANK(B15,$B$9:$B$18,0)</f>
        <v/>
      </c>
      <c r="F15">
        <f>SUM($B$9:B15)</f>
        <v/>
      </c>
      <c r="G15">
        <f>F15/$B$3</f>
        <v/>
      </c>
    </row>
    <row r="16">
      <c r="A16" t="inlineStr">
        <is>
          <t>E_PSVC_50360</t>
        </is>
      </c>
      <c r="B16" t="n">
        <v>2</v>
      </c>
      <c r="C16">
        <f>B16/$B$2</f>
        <v/>
      </c>
      <c r="D16">
        <f>B16/$B$3</f>
        <v/>
      </c>
      <c r="E16">
        <f>RANK(B16,$B$9:$B$18,0)</f>
        <v/>
      </c>
      <c r="F16">
        <f>SUM($B$9:B16)</f>
        <v/>
      </c>
      <c r="G16">
        <f>F16/$B$3</f>
        <v/>
      </c>
    </row>
    <row r="17">
      <c r="A17" t="inlineStr">
        <is>
          <t>E_PSVC_50330</t>
        </is>
      </c>
      <c r="B17" t="n">
        <v>1</v>
      </c>
      <c r="C17">
        <f>B17/$B$2</f>
        <v/>
      </c>
      <c r="D17">
        <f>B17/$B$3</f>
        <v/>
      </c>
      <c r="E17">
        <f>RANK(B17,$B$9:$B$18,0)</f>
        <v/>
      </c>
      <c r="F17">
        <f>SUM($B$9:B17)</f>
        <v/>
      </c>
      <c r="G17">
        <f>F17/$B$3</f>
        <v/>
      </c>
    </row>
    <row r="18">
      <c r="A18" t="inlineStr">
        <is>
          <t>E_PSVC_51311</t>
        </is>
      </c>
      <c r="B18" t="n">
        <v>1</v>
      </c>
      <c r="C18">
        <f>B18/$B$2</f>
        <v/>
      </c>
      <c r="D18">
        <f>B18/$B$3</f>
        <v/>
      </c>
      <c r="E18">
        <f>RANK(B18,$B$9:$B$18,0)</f>
        <v/>
      </c>
      <c r="F18">
        <f>SUM($B$9:B18)</f>
        <v/>
      </c>
      <c r="G18">
        <f>F18/$B$3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2026-01-30T17:08:55Z</dcterms:created>
  <dcterms:modified xmlns:dcterms="http://purl.org/dc/terms/" xmlns:xsi="http://www.w3.org/2001/XMLSchema-instance" xsi:type="dcterms:W3CDTF">2026-01-30T17:08:55Z</dcterms:modified>
</cp:coreProperties>
</file>